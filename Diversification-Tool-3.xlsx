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versification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<sst xmlns="http://schemas.openxmlformats.org/spreadsheetml/2006/main" count="68" uniqueCount="45">
  <si>
    <t xml:space="preserve">To calculate your current performance please enter numbers in colored cells.</t>
  </si>
  <si>
    <t xml:space="preserve">Proposed trades</t>
  </si>
  <si>
    <t xml:space="preserve">Proposed unit</t>
  </si>
  <si>
    <t xml:space="preserve">Current Holdings </t>
  </si>
  <si>
    <t xml:space="preserve"># of securities</t>
  </si>
  <si>
    <t xml:space="preserve">prices</t>
  </si>
  <si>
    <t xml:space="preserve">Holdings after trades</t>
  </si>
  <si>
    <t xml:space="preserve">If state is…</t>
  </si>
  <si>
    <t xml:space="preserve">W</t>
  </si>
  <si>
    <t xml:space="preserve">X</t>
  </si>
  <si>
    <t xml:space="preserve">Y</t>
  </si>
  <si>
    <t xml:space="preserve">Z</t>
  </si>
  <si>
    <t xml:space="preserve">Buy</t>
  </si>
  <si>
    <t xml:space="preserve">Sell</t>
  </si>
  <si>
    <t xml:space="preserve">A</t>
  </si>
  <si>
    <t xml:space="preserve">Cash</t>
  </si>
  <si>
    <t xml:space="preserve">#</t>
  </si>
  <si>
    <t xml:space="preserve">$</t>
  </si>
  <si>
    <t xml:space="preserve">B</t>
  </si>
  <si>
    <t xml:space="preserve">Stock A</t>
  </si>
  <si>
    <t xml:space="preserve">C</t>
  </si>
  <si>
    <t xml:space="preserve">Stock B</t>
  </si>
  <si>
    <t xml:space="preserve">Notes</t>
  </si>
  <si>
    <t xml:space="preserve">Stock C</t>
  </si>
  <si>
    <t xml:space="preserve">StockC</t>
  </si>
  <si>
    <t xml:space="preserve">Penalty for risk  b=</t>
  </si>
  <si>
    <t xml:space="preserve">Expected payoff=</t>
  </si>
  <si>
    <t xml:space="preserve">A^2</t>
  </si>
  <si>
    <t xml:space="preserve">B^2</t>
  </si>
  <si>
    <t xml:space="preserve">C^2</t>
  </si>
  <si>
    <t xml:space="preserve">Var(A)=</t>
  </si>
  <si>
    <t xml:space="preserve">Notes^2</t>
  </si>
  <si>
    <t xml:space="preserve">Var(B)=</t>
  </si>
  <si>
    <t xml:space="preserve">Performance =</t>
  </si>
  <si>
    <t xml:space="preserve">Var(C)=</t>
  </si>
  <si>
    <t xml:space="preserve">( Sharpe ratio =</t>
  </si>
  <si>
    <t xml:space="preserve">)</t>
  </si>
  <si>
    <t xml:space="preserve">Var(N)=</t>
  </si>
  <si>
    <t xml:space="preserve">Cov(A,B)=</t>
  </si>
  <si>
    <t xml:space="preserve">Cov(A,N)=</t>
  </si>
  <si>
    <t xml:space="preserve">Payoff Variance=</t>
  </si>
  <si>
    <t xml:space="preserve">Cov(B,N)=</t>
  </si>
  <si>
    <t xml:space="preserve">Cov(C,N)=</t>
  </si>
  <si>
    <t xml:space="preserve">Cov(A,C)=</t>
  </si>
  <si>
    <t xml:space="preserve">Cov(B,C)=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</si>
</sst>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i val="true"/>
      <sz val="16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BBB59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true"/>
    </xf>
    <xf numFmtId="164" fontId="4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4" borderId="2" xfId="0" applyFont="true" applyBorder="true" applyAlignment="false" applyProtection="true">
      <alignment horizontal="general" vertical="bottom" textRotation="0" wrapText="false" indent="0" shrinkToFit="false"/>
      <protection locked="false" hidden="true"/>
    </xf>
    <xf numFmtId="164" fontId="4" fillId="5" borderId="2" xfId="0" applyFont="true" applyBorder="true" applyAlignment="false" applyProtection="true">
      <alignment horizontal="general" vertical="bottom" textRotation="0" wrapText="false" indent="0" shrinkToFit="false"/>
      <protection locked="false" hidden="tru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8"/>
  <sheetViews>
    <sheetView showFormulas="false" showGridLines="true" showRowColHeaders="true" showZeros="true" rightToLeft="false" tabSelected="true" showOutlineSymbols="true" defaultGridColor="true" view="normal" topLeftCell="H5" colorId="64" zoomScale="80" zoomScaleNormal="80" zoomScalePageLayoutView="100" workbookViewId="0">
      <selection pane="topLeft" activeCell="J13" activeCellId="0" sqref="J13"/>
    </sheetView>
  </sheetViews>
  <sheetFormatPr defaultColWidth="10.6640625" defaultRowHeight="21" zeroHeight="false" outlineLevelRow="0" outlineLevelCol="0"/>
  <cols>
    <col collapsed="false" customWidth="false" hidden="false" outlineLevel="0" max="11" min="1" style="1" width="10.66"/>
    <col collapsed="false" customWidth="true" hidden="false" outlineLevel="0" max="12" min="12" style="1" width="11.51"/>
    <col collapsed="false" customWidth="false" hidden="false" outlineLevel="0" max="15" min="13" style="1" width="10.66"/>
    <col collapsed="false" customWidth="true" hidden="false" outlineLevel="0" max="16" min="16" style="1" width="15.83"/>
    <col collapsed="false" customWidth="true" hidden="false" outlineLevel="0" max="17" min="17" style="1" width="8"/>
    <col collapsed="false" customWidth="true" hidden="false" outlineLevel="0" max="18" min="18" style="1" width="8.16"/>
    <col collapsed="false" customWidth="false" hidden="false" outlineLevel="0" max="19" min="19" style="1" width="10.66"/>
    <col collapsed="false" customWidth="true" hidden="false" outlineLevel="0" max="20" min="20" style="1" width="15"/>
    <col collapsed="false" customWidth="true" hidden="false" outlineLevel="0" max="21" min="21" style="1" width="19.17"/>
    <col collapsed="false" customWidth="false" hidden="false" outlineLevel="0" max="1024" min="22" style="1" width="10.66"/>
  </cols>
  <sheetData>
    <row r="1" customFormat="false" ht="21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1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4"/>
      <c r="I2" s="4"/>
      <c r="J2" s="2"/>
      <c r="K2" s="2"/>
      <c r="L2" s="2"/>
      <c r="M2" s="2"/>
      <c r="U2" s="5"/>
    </row>
    <row r="3" customFormat="false" ht="21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U3" s="5"/>
    </row>
    <row r="4" customFormat="false" ht="21" hidden="false" customHeight="false" outlineLevel="0" collapsed="false">
      <c r="A4" s="2"/>
      <c r="B4" s="2"/>
      <c r="C4" s="2"/>
      <c r="D4" s="6" t="s">
        <v>1</v>
      </c>
      <c r="E4" s="6"/>
      <c r="F4" s="2"/>
      <c r="G4" s="6" t="s">
        <v>2</v>
      </c>
      <c r="H4" s="6"/>
      <c r="I4" s="2"/>
      <c r="J4" s="2"/>
      <c r="K4" s="2"/>
      <c r="L4" s="2"/>
      <c r="M4" s="2"/>
    </row>
    <row r="5" customFormat="false" ht="21" hidden="false" customHeight="false" outlineLevel="0" collapsed="false">
      <c r="A5" s="6" t="s">
        <v>3</v>
      </c>
      <c r="B5" s="6"/>
      <c r="C5" s="2"/>
      <c r="D5" s="6" t="s">
        <v>4</v>
      </c>
      <c r="E5" s="6"/>
      <c r="F5" s="2"/>
      <c r="G5" s="6" t="s">
        <v>5</v>
      </c>
      <c r="H5" s="6"/>
      <c r="J5" s="7" t="s">
        <v>6</v>
      </c>
      <c r="K5" s="7"/>
      <c r="L5" s="2"/>
      <c r="M5" s="2"/>
      <c r="P5" s="8" t="s">
        <v>7</v>
      </c>
      <c r="Q5" s="8" t="s">
        <v>8</v>
      </c>
      <c r="R5" s="9" t="s">
        <v>9</v>
      </c>
      <c r="S5" s="9" t="s">
        <v>10</v>
      </c>
      <c r="T5" s="9" t="s">
        <v>11</v>
      </c>
      <c r="V5" s="8" t="s">
        <v>7</v>
      </c>
      <c r="W5" s="8" t="s">
        <v>8</v>
      </c>
      <c r="X5" s="9" t="s">
        <v>9</v>
      </c>
      <c r="Y5" s="9" t="s">
        <v>10</v>
      </c>
      <c r="Z5" s="9" t="s">
        <v>11</v>
      </c>
    </row>
    <row r="6" customFormat="false" ht="21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P6" s="8"/>
      <c r="Q6" s="8"/>
      <c r="R6" s="9"/>
      <c r="S6" s="9"/>
      <c r="T6" s="9"/>
      <c r="V6" s="8"/>
      <c r="W6" s="8"/>
      <c r="X6" s="9"/>
      <c r="Y6" s="9"/>
      <c r="Z6" s="9"/>
    </row>
    <row r="7" s="5" customFormat="true" ht="22" hidden="false" customHeight="false" outlineLevel="0" collapsed="false">
      <c r="A7" s="10"/>
      <c r="B7" s="10"/>
      <c r="C7" s="10"/>
      <c r="D7" s="11" t="s">
        <v>12</v>
      </c>
      <c r="E7" s="11" t="s">
        <v>13</v>
      </c>
      <c r="F7" s="10"/>
      <c r="G7" s="11" t="s">
        <v>12</v>
      </c>
      <c r="H7" s="11" t="s">
        <v>13</v>
      </c>
      <c r="I7" s="10"/>
      <c r="J7" s="10"/>
      <c r="K7" s="10"/>
      <c r="L7" s="10"/>
      <c r="M7" s="10"/>
      <c r="P7" s="12" t="s">
        <v>14</v>
      </c>
      <c r="Q7" s="12" t="n">
        <v>10</v>
      </c>
      <c r="R7" s="13" t="n">
        <v>0</v>
      </c>
      <c r="S7" s="13" t="n">
        <v>7.5</v>
      </c>
      <c r="T7" s="13" t="n">
        <v>2.5</v>
      </c>
      <c r="V7" s="12" t="s">
        <v>14</v>
      </c>
      <c r="W7" s="12" t="n">
        <v>10</v>
      </c>
      <c r="X7" s="13" t="n">
        <v>0</v>
      </c>
      <c r="Y7" s="13" t="n">
        <v>7.5</v>
      </c>
      <c r="Z7" s="13" t="n">
        <v>2.5</v>
      </c>
      <c r="AA7" s="5" t="n">
        <f aca="false">1/4*(W7+X7+Y7+Z7)</f>
        <v>5</v>
      </c>
    </row>
    <row r="8" customFormat="false" ht="22" hidden="false" customHeight="false" outlineLevel="0" collapsed="false">
      <c r="A8" s="2" t="s">
        <v>15</v>
      </c>
      <c r="B8" s="14" t="n">
        <v>3.47</v>
      </c>
      <c r="C8" s="15"/>
      <c r="D8" s="6" t="s">
        <v>16</v>
      </c>
      <c r="E8" s="6" t="s">
        <v>16</v>
      </c>
      <c r="F8" s="2"/>
      <c r="G8" s="6" t="s">
        <v>17</v>
      </c>
      <c r="H8" s="6" t="s">
        <v>17</v>
      </c>
      <c r="I8" s="2"/>
      <c r="J8" s="16" t="n">
        <v>89.91</v>
      </c>
      <c r="K8" s="2" t="s">
        <v>15</v>
      </c>
      <c r="L8" s="2"/>
      <c r="M8" s="2"/>
      <c r="P8" s="8" t="s">
        <v>18</v>
      </c>
      <c r="Q8" s="8" t="n">
        <v>0</v>
      </c>
      <c r="R8" s="13" t="n">
        <v>2.5</v>
      </c>
      <c r="S8" s="13" t="n">
        <v>7.5</v>
      </c>
      <c r="T8" s="13" t="n">
        <v>10</v>
      </c>
      <c r="V8" s="8" t="s">
        <v>18</v>
      </c>
      <c r="W8" s="8" t="n">
        <v>0</v>
      </c>
      <c r="X8" s="13" t="n">
        <v>2.5</v>
      </c>
      <c r="Y8" s="13" t="n">
        <v>7.5</v>
      </c>
      <c r="Z8" s="13" t="n">
        <v>10</v>
      </c>
      <c r="AA8" s="5" t="n">
        <f aca="false">1/4*(W8+X8+Y8+Z8)</f>
        <v>5</v>
      </c>
    </row>
    <row r="9" customFormat="false" ht="22" hidden="false" customHeight="false" outlineLevel="0" collapsed="false">
      <c r="A9" s="2" t="s">
        <v>19</v>
      </c>
      <c r="B9" s="14" t="n">
        <v>8</v>
      </c>
      <c r="C9" s="15"/>
      <c r="D9" s="17" t="n">
        <v>0</v>
      </c>
      <c r="E9" s="18" t="n">
        <v>0</v>
      </c>
      <c r="F9" s="2"/>
      <c r="G9" s="17" t="n">
        <v>5.13</v>
      </c>
      <c r="H9" s="18" t="n">
        <v>5.11</v>
      </c>
      <c r="I9" s="2"/>
      <c r="J9" s="16" t="n">
        <v>-6</v>
      </c>
      <c r="K9" s="2" t="s">
        <v>19</v>
      </c>
      <c r="L9" s="2"/>
      <c r="M9" s="2"/>
      <c r="P9" s="8" t="s">
        <v>20</v>
      </c>
      <c r="Q9" s="8" t="n">
        <v>0</v>
      </c>
      <c r="R9" s="13" t="n">
        <v>7.5</v>
      </c>
      <c r="S9" s="13" t="n">
        <v>2.5</v>
      </c>
      <c r="T9" s="13" t="n">
        <v>10</v>
      </c>
      <c r="V9" s="8" t="s">
        <v>20</v>
      </c>
      <c r="W9" s="8" t="n">
        <v>0</v>
      </c>
      <c r="X9" s="13" t="n">
        <v>7.5</v>
      </c>
      <c r="Y9" s="13" t="n">
        <v>2.5</v>
      </c>
      <c r="Z9" s="13" t="n">
        <v>10</v>
      </c>
      <c r="AA9" s="5" t="n">
        <f aca="false">1/4*(W9+X9+Y9+Z9)</f>
        <v>5</v>
      </c>
    </row>
    <row r="10" customFormat="false" ht="22" hidden="false" customHeight="false" outlineLevel="0" collapsed="false">
      <c r="A10" s="2" t="s">
        <v>21</v>
      </c>
      <c r="B10" s="14" t="n">
        <v>5</v>
      </c>
      <c r="C10" s="15"/>
      <c r="D10" s="17" t="n">
        <v>0</v>
      </c>
      <c r="E10" s="18" t="n">
        <v>0</v>
      </c>
      <c r="F10" s="2"/>
      <c r="G10" s="17" t="n">
        <v>1.51</v>
      </c>
      <c r="H10" s="18" t="n">
        <v>1.52</v>
      </c>
      <c r="I10" s="2"/>
      <c r="J10" s="16" t="n">
        <v>0</v>
      </c>
      <c r="K10" s="2" t="s">
        <v>21</v>
      </c>
      <c r="L10" s="2"/>
      <c r="M10" s="2"/>
      <c r="P10" s="8" t="s">
        <v>22</v>
      </c>
      <c r="Q10" s="8" t="n">
        <v>5</v>
      </c>
      <c r="R10" s="13" t="n">
        <v>5</v>
      </c>
      <c r="S10" s="13" t="n">
        <v>5</v>
      </c>
      <c r="T10" s="13" t="n">
        <v>5</v>
      </c>
      <c r="V10" s="8" t="s">
        <v>22</v>
      </c>
      <c r="W10" s="8" t="n">
        <v>5</v>
      </c>
      <c r="X10" s="13" t="n">
        <v>5</v>
      </c>
      <c r="Y10" s="13" t="n">
        <v>5</v>
      </c>
      <c r="Z10" s="13" t="n">
        <v>5</v>
      </c>
      <c r="AA10" s="5" t="n">
        <f aca="false">1/4*(W10+X10+Y10+Z10)</f>
        <v>5</v>
      </c>
    </row>
    <row r="11" customFormat="false" ht="19.7" hidden="false" customHeight="false" outlineLevel="0" collapsed="false">
      <c r="A11" s="2" t="s">
        <v>23</v>
      </c>
      <c r="B11" s="14" t="n">
        <v>8</v>
      </c>
      <c r="C11" s="15"/>
      <c r="D11" s="17" t="n">
        <v>0</v>
      </c>
      <c r="E11" s="18" t="n">
        <v>0</v>
      </c>
      <c r="F11" s="2"/>
      <c r="G11" s="17" t="n">
        <v>3.51</v>
      </c>
      <c r="H11" s="18" t="n">
        <v>3.49</v>
      </c>
      <c r="I11" s="2"/>
      <c r="J11" s="16" t="n">
        <v>-2</v>
      </c>
      <c r="K11" s="2" t="s">
        <v>24</v>
      </c>
      <c r="L11" s="2"/>
      <c r="M11" s="2"/>
      <c r="V11" s="19"/>
      <c r="W11" s="19"/>
      <c r="X11" s="20"/>
      <c r="Y11" s="20"/>
      <c r="Z11" s="20"/>
    </row>
    <row r="12" customFormat="false" ht="22" hidden="false" customHeight="false" outlineLevel="0" collapsed="false">
      <c r="A12" s="2" t="s">
        <v>22</v>
      </c>
      <c r="B12" s="14" t="n">
        <v>0</v>
      </c>
      <c r="C12" s="15"/>
      <c r="D12" s="17" t="n">
        <v>0</v>
      </c>
      <c r="E12" s="18" t="n">
        <v>0</v>
      </c>
      <c r="F12" s="2"/>
      <c r="G12" s="17" t="n">
        <v>5.03</v>
      </c>
      <c r="H12" s="18" t="n">
        <v>5.01</v>
      </c>
      <c r="I12" s="2"/>
      <c r="J12" s="16" t="n">
        <v>14</v>
      </c>
      <c r="K12" s="2" t="s">
        <v>22</v>
      </c>
      <c r="L12" s="2"/>
      <c r="M12" s="2"/>
    </row>
    <row r="13" customFormat="false" ht="21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10"/>
      <c r="K13" s="2"/>
      <c r="L13" s="2"/>
      <c r="M13" s="2"/>
      <c r="N13" s="21" t="s">
        <v>25</v>
      </c>
      <c r="O13" s="21"/>
      <c r="P13" s="22" t="n">
        <v>0.007</v>
      </c>
      <c r="Q13" s="23"/>
      <c r="V13" s="8" t="s">
        <v>7</v>
      </c>
      <c r="W13" s="8" t="s">
        <v>8</v>
      </c>
      <c r="X13" s="9" t="s">
        <v>9</v>
      </c>
      <c r="Y13" s="9" t="s">
        <v>10</v>
      </c>
      <c r="Z13" s="9" t="s">
        <v>11</v>
      </c>
    </row>
    <row r="14" customFormat="false" ht="21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 t="s">
        <v>26</v>
      </c>
      <c r="P14" s="5" t="n">
        <f aca="false">J8+J9*1/4*(Q7+R7+S7+T7)+J10*1/4*(Q8+R8+S8+T8)+J12*1/4*(Q10+R10+S10+T10) + J11*1/4*(Q9+R9+S9+T9)</f>
        <v>119.91</v>
      </c>
      <c r="Q14" s="5"/>
      <c r="V14" s="8"/>
      <c r="W14" s="8"/>
      <c r="X14" s="9"/>
      <c r="Y14" s="9"/>
      <c r="Z14" s="9"/>
    </row>
    <row r="15" customFormat="false" ht="21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V15" s="8" t="s">
        <v>27</v>
      </c>
      <c r="W15" s="8" t="n">
        <f aca="false">W7^2</f>
        <v>100</v>
      </c>
      <c r="X15" s="13" t="n">
        <f aca="false">X7^2</f>
        <v>0</v>
      </c>
      <c r="Y15" s="13" t="n">
        <f aca="false">Y7^2</f>
        <v>56.25</v>
      </c>
      <c r="Z15" s="13" t="n">
        <f aca="false">Z7^2</f>
        <v>6.25</v>
      </c>
    </row>
    <row r="16" customFormat="false" ht="21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V16" s="8" t="s">
        <v>28</v>
      </c>
      <c r="W16" s="8" t="n">
        <f aca="false">W8^2</f>
        <v>0</v>
      </c>
      <c r="X16" s="13" t="n">
        <f aca="false">X8^2</f>
        <v>6.25</v>
      </c>
      <c r="Y16" s="13" t="n">
        <f aca="false">Y8^2</f>
        <v>56.25</v>
      </c>
      <c r="Z16" s="13" t="n">
        <f aca="false">Z8^2</f>
        <v>100</v>
      </c>
    </row>
    <row r="17" customFormat="false" ht="21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V17" s="8" t="s">
        <v>29</v>
      </c>
      <c r="W17" s="8" t="n">
        <f aca="false">W9^2</f>
        <v>0</v>
      </c>
      <c r="X17" s="13" t="n">
        <f aca="false">X9^2</f>
        <v>56.25</v>
      </c>
      <c r="Y17" s="13" t="n">
        <f aca="false">Y9^2</f>
        <v>6.25</v>
      </c>
      <c r="Z17" s="13" t="n">
        <f aca="false">Z9^2</f>
        <v>100</v>
      </c>
    </row>
    <row r="18" customFormat="false" ht="21" hidden="false" customHeight="false" outlineLevel="0" collapsed="false">
      <c r="A18" s="2"/>
      <c r="B18" s="2"/>
      <c r="C18" s="2"/>
      <c r="D18" s="24"/>
      <c r="E18" s="2"/>
      <c r="F18" s="2"/>
      <c r="G18" s="2"/>
      <c r="H18" s="2"/>
      <c r="I18" s="2"/>
      <c r="J18" s="2"/>
      <c r="K18" s="2"/>
      <c r="L18" s="2"/>
      <c r="M18" s="2"/>
      <c r="T18" s="1" t="s">
        <v>30</v>
      </c>
      <c r="U18" s="5" t="n">
        <f aca="false">1/4*(W15+X15+Y15+Z15)-1/16*(W7+X7+Y7+Z7)^2</f>
        <v>15.625</v>
      </c>
      <c r="V18" s="8" t="s">
        <v>31</v>
      </c>
      <c r="W18" s="8" t="n">
        <f aca="false">W10^2</f>
        <v>25</v>
      </c>
      <c r="X18" s="13" t="n">
        <f aca="false">X10^2</f>
        <v>25</v>
      </c>
      <c r="Y18" s="13" t="n">
        <f aca="false">Y10^2</f>
        <v>25</v>
      </c>
      <c r="Z18" s="13" t="n">
        <f aca="false">Z10^2</f>
        <v>25</v>
      </c>
    </row>
    <row r="19" customFormat="false" ht="21" hidden="false" customHeight="false" outlineLevel="0" collapsed="false">
      <c r="A19" s="2"/>
      <c r="B19" s="2"/>
      <c r="C19" s="24"/>
      <c r="D19" s="24"/>
      <c r="E19" s="25"/>
      <c r="F19" s="2"/>
      <c r="G19" s="2"/>
      <c r="H19" s="2"/>
      <c r="I19" s="2"/>
      <c r="J19" s="2"/>
      <c r="K19" s="2"/>
      <c r="M19" s="2"/>
      <c r="T19" s="1" t="s">
        <v>32</v>
      </c>
      <c r="U19" s="5" t="n">
        <f aca="false">1/4*(W16+X16+Y16+Z16)-1/16*(W8+X8+Y8+Z8)^2</f>
        <v>15.625</v>
      </c>
    </row>
    <row r="20" customFormat="false" ht="21" hidden="false" customHeight="false" outlineLevel="0" collapsed="false">
      <c r="A20" s="2"/>
      <c r="B20" s="2"/>
      <c r="C20" s="24"/>
      <c r="D20" s="24"/>
      <c r="E20" s="25"/>
      <c r="F20" s="2"/>
      <c r="G20" s="2"/>
      <c r="H20" s="2"/>
      <c r="I20" s="2"/>
      <c r="J20" s="26" t="s">
        <v>33</v>
      </c>
      <c r="K20" s="27"/>
      <c r="L20" s="28" t="n">
        <f aca="false">P14-P13*P25</f>
        <v>117.8975</v>
      </c>
      <c r="M20" s="29"/>
      <c r="T20" s="1" t="s">
        <v>34</v>
      </c>
      <c r="U20" s="5" t="n">
        <f aca="false">1/4*(W17+X17+Y17+Z17)-1/16*(W9+X9+Y9+Z9)^2</f>
        <v>15.625</v>
      </c>
    </row>
    <row r="21" customFormat="false" ht="21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9" t="s">
        <v>35</v>
      </c>
      <c r="K21" s="29"/>
      <c r="L21" s="29" t="n">
        <f aca="false">P14/SQRT(P25)</f>
        <v>7.07190598501349</v>
      </c>
      <c r="M21" s="1" t="s">
        <v>36</v>
      </c>
      <c r="T21" s="1" t="s">
        <v>37</v>
      </c>
      <c r="U21" s="5" t="n">
        <f aca="false">1/4*(W18+X18+Y18+Z18)-1/16*(W10+X10+Y10+Z10)^2</f>
        <v>0</v>
      </c>
    </row>
    <row r="22" customFormat="false" ht="21" hidden="false" customHeight="false" outlineLevel="0" collapsed="false">
      <c r="A22" s="30"/>
      <c r="B22" s="30"/>
      <c r="C22" s="30"/>
      <c r="D22" s="30"/>
      <c r="E22" s="30"/>
      <c r="F22" s="30"/>
      <c r="G22" s="30"/>
    </row>
    <row r="23" customFormat="false" ht="21" hidden="false" customHeight="false" outlineLevel="0" collapsed="false">
      <c r="T23" s="1" t="s">
        <v>38</v>
      </c>
      <c r="U23" s="5" t="n">
        <f aca="false">1/4*(W7*W8+X7*X8+Y7*Y8+Z7*Z8)-AA7*AA8</f>
        <v>-4.6875</v>
      </c>
    </row>
    <row r="24" customFormat="false" ht="21" hidden="false" customHeight="false" outlineLevel="0" collapsed="false">
      <c r="T24" s="1" t="s">
        <v>39</v>
      </c>
      <c r="U24" s="5" t="n">
        <f aca="false">1/4*(W7*W10+X7*X10+Y7*Y10+Z7*Z10)-AA7*AA10</f>
        <v>0</v>
      </c>
    </row>
    <row r="25" customFormat="false" ht="21" hidden="false" customHeight="false" outlineLevel="0" collapsed="false">
      <c r="N25" s="1" t="s">
        <v>40</v>
      </c>
      <c r="P25" s="5" t="n">
        <f aca="false">J9^2*U18+J10^2*U19+J11^2*U20+J12^2*U21+2*J9*J10*U23+2*J9*J12*U24+2*J10*J12*U25 + 2*J11*J12*U26+2*J9*J11*U27+2*J10*J11*U28</f>
        <v>287.5</v>
      </c>
      <c r="T25" s="1" t="s">
        <v>41</v>
      </c>
      <c r="U25" s="5" t="n">
        <f aca="false">1/4*(W8*W10+X8*X10+Y8*Y10+Z8*Z10)-AA8*AA10</f>
        <v>0</v>
      </c>
    </row>
    <row r="26" customFormat="false" ht="21" hidden="false" customHeight="false" outlineLevel="0" collapsed="false">
      <c r="G26" s="31"/>
      <c r="Q26" s="5"/>
      <c r="T26" s="1" t="s">
        <v>42</v>
      </c>
      <c r="U26" s="5" t="n">
        <f aca="false">1/4*(W9*W10+X9*X10+Y9*Y10+Z9*Z10)-AA9*AA10</f>
        <v>0</v>
      </c>
    </row>
    <row r="27" customFormat="false" ht="21" hidden="false" customHeight="false" outlineLevel="0" collapsed="false">
      <c r="T27" s="1" t="s">
        <v>43</v>
      </c>
      <c r="U27" s="1" t="n">
        <f aca="false">1/4*(W7*W9+X7*X9+Y7*Y9+Z7*Z9)-AA7*AA9</f>
        <v>-14.0625</v>
      </c>
    </row>
    <row r="28" customFormat="false" ht="21" hidden="false" customHeight="false" outlineLevel="0" collapsed="false">
      <c r="T28" s="1" t="s">
        <v>44</v>
      </c>
      <c r="U28" s="1" t="n">
        <f aca="false">1/4*(W8*W9+X8*X9+Y8*Y9+Z8*Z9)-AA8*AA9</f>
        <v>9.375</v>
      </c>
    </row>
  </sheetData>
  <mergeCells count="5">
    <mergeCell ref="D4:E4"/>
    <mergeCell ref="G4:H4"/>
    <mergeCell ref="A5:B5"/>
    <mergeCell ref="D5:E5"/>
    <mergeCell ref="G5:H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0" activeCellId="0" sqref="F20"/>
    </sheetView>
  </sheetViews>
  <sheetFormatPr defaultColWidth="8.8359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2013-03-05T23:33:16Z</dcterms:created>
  <dc:creator>Liza</dc:creator>
  <dc:description/>
  <dc:language>en-AU</dc:language>
  <cp:lastModifiedBy/>
  <dcterms:modified xsi:type="dcterms:W3CDTF">2020-09-29T12:43:27Z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