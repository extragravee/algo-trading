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0"/>
  <workbookPr autoCompressPictures="0"/>
  <mc:AlternateContent xmlns:mc="http://schemas.openxmlformats.org/markup-compatibility/2006">
    <mc:Choice Requires="x15">
      <x15ac:absPath xmlns:x15ac="http://schemas.microsoft.com/office/spreadsheetml/2010/11/ac" url="/Users/pbossaerts/OneDrive - The University of Melbourne/UNIMELB/Teaching/Algo/2020/CAPM/"/>
    </mc:Choice>
  </mc:AlternateContent>
  <xr:revisionPtr revIDLastSave="0" documentId="13_ncr:1_{51164004-03F8-7546-9C85-5BE64778CD71}" xr6:coauthVersionLast="45" xr6:coauthVersionMax="45" xr10:uidLastSave="{00000000-0000-0000-0000-000000000000}"/>
  <bookViews>
    <workbookView xWindow="-23840" yWindow="-480" windowWidth="22820" windowHeight="17020" xr2:uid="{00000000-000D-0000-FFFF-FFFF00000000}"/>
  </bookViews>
  <sheets>
    <sheet name="Diversification" sheetId="1" r:id="rId1"/>
    <sheet name="Sheet2" sheetId="2" r:id="rId2"/>
    <sheet name="Sheet3" sheetId="3" r:id="rId3"/>
  </sheet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8" i="1" l="1"/>
  <c r="W16" i="1" l="1"/>
  <c r="W17" i="1"/>
  <c r="U20" i="1" s="1"/>
  <c r="W18" i="1"/>
  <c r="W15" i="1"/>
  <c r="AA8" i="1"/>
  <c r="AA9" i="1"/>
  <c r="U26" i="1" s="1"/>
  <c r="AA10" i="1"/>
  <c r="AA7" i="1"/>
  <c r="Z17" i="1"/>
  <c r="Y17" i="1"/>
  <c r="X17" i="1"/>
  <c r="J11" i="1"/>
  <c r="U27" i="1" l="1"/>
  <c r="U24" i="1"/>
  <c r="U23" i="1"/>
  <c r="U28" i="1"/>
  <c r="U25" i="1"/>
  <c r="J9" i="1"/>
  <c r="J10" i="1"/>
  <c r="J12" i="1"/>
  <c r="X15" i="1"/>
  <c r="U18" i="1" s="1"/>
  <c r="Y15" i="1"/>
  <c r="Z15" i="1"/>
  <c r="X16" i="1"/>
  <c r="U19" i="1" s="1"/>
  <c r="Y16" i="1"/>
  <c r="Z16" i="1"/>
  <c r="X18" i="1"/>
  <c r="U21" i="1" s="1"/>
  <c r="Y18" i="1"/>
  <c r="Z18" i="1"/>
  <c r="P25" i="1" l="1"/>
  <c r="P14" i="1"/>
  <c r="L20" i="1" l="1"/>
  <c r="L21" i="1" l="1"/>
</calcChain>
</file>

<file path=xl/sharedStrings.xml><?xml version="1.0" encoding="utf-8"?>
<sst xmlns="http://schemas.openxmlformats.org/spreadsheetml/2006/main" count="68" uniqueCount="45">
  <si>
    <t>Cash</t>
  </si>
  <si>
    <t>Proposed trades</t>
  </si>
  <si>
    <t>Stock A</t>
  </si>
  <si>
    <t>Stock B</t>
  </si>
  <si>
    <t>Notes</t>
  </si>
  <si>
    <t>X</t>
  </si>
  <si>
    <t>Y</t>
  </si>
  <si>
    <t>Z</t>
  </si>
  <si>
    <t>A</t>
  </si>
  <si>
    <t>B</t>
  </si>
  <si>
    <t>Penalty for risk  b=</t>
  </si>
  <si>
    <t>If state is…</t>
  </si>
  <si>
    <t># of securities</t>
  </si>
  <si>
    <t>Buy</t>
  </si>
  <si>
    <t>Sell</t>
  </si>
  <si>
    <t>#</t>
  </si>
  <si>
    <t>$</t>
  </si>
  <si>
    <t>Holdings after trades</t>
  </si>
  <si>
    <t>Expected payoff=</t>
  </si>
  <si>
    <t>Var(A)=</t>
  </si>
  <si>
    <t>A^2</t>
  </si>
  <si>
    <t>B^2</t>
  </si>
  <si>
    <t>Notes^2</t>
  </si>
  <si>
    <t>Var(B)=</t>
  </si>
  <si>
    <t>Var(N)=</t>
  </si>
  <si>
    <t>Cov(A,B)=</t>
  </si>
  <si>
    <t>Cov(A,N)=</t>
  </si>
  <si>
    <t>Cov(B,N)=</t>
  </si>
  <si>
    <t>Payoff Variance=</t>
  </si>
  <si>
    <t>Performance =</t>
  </si>
  <si>
    <t>To calculate your current performance please enter numbers in colored cells.</t>
  </si>
  <si>
    <t xml:space="preserve">Current Holdings </t>
  </si>
  <si>
    <t>Proposed unit</t>
  </si>
  <si>
    <t>prices</t>
  </si>
  <si>
    <t>)</t>
  </si>
  <si>
    <t>( Sharpe ratio =</t>
  </si>
  <si>
    <t>StockC</t>
  </si>
  <si>
    <t>C</t>
  </si>
  <si>
    <t>W</t>
  </si>
  <si>
    <t>C^2</t>
  </si>
  <si>
    <t>Var(C)=</t>
  </si>
  <si>
    <t>Cov(C,N)=</t>
  </si>
  <si>
    <t>Cov(A,C)=</t>
  </si>
  <si>
    <t>Cov(B,C)=</t>
  </si>
  <si>
    <t>Stock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</si>
</sst>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Protection="1"/>
    <xf numFmtId="0" fontId="2" fillId="4" borderId="0" xfId="0" applyFont="1" applyFill="1" applyProtection="1"/>
    <xf numFmtId="0" fontId="2" fillId="0" borderId="0" xfId="0" applyFont="1" applyProtection="1"/>
    <xf numFmtId="0" fontId="2" fillId="4" borderId="0" xfId="0" applyFont="1" applyFill="1" applyProtection="1"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2" fillId="4" borderId="0" xfId="0" applyFont="1" applyFill="1" applyBorder="1" applyProtection="1"/>
    <xf numFmtId="0" fontId="2" fillId="4" borderId="0" xfId="0" applyFont="1" applyFill="1" applyBorder="1" applyAlignment="1" applyProtection="1">
      <alignment horizontal="center"/>
    </xf>
    <xf numFmtId="0" fontId="2" fillId="4" borderId="0" xfId="0" applyFont="1" applyFill="1" applyBorder="1" applyAlignment="1" applyProtection="1">
      <alignment horizontal="center"/>
      <protection hidden="1"/>
    </xf>
    <xf numFmtId="0" fontId="2" fillId="2" borderId="1" xfId="0" applyFont="1" applyFill="1" applyBorder="1" applyProtection="1">
      <protection locked="0" hidden="1"/>
    </xf>
    <xf numFmtId="0" fontId="2" fillId="3" borderId="1" xfId="0" applyFont="1" applyFill="1" applyBorder="1" applyProtection="1">
      <protection locked="0" hidden="1"/>
    </xf>
    <xf numFmtId="0" fontId="2" fillId="5" borderId="0" xfId="0" applyFont="1" applyFill="1" applyProtection="1"/>
    <xf numFmtId="0" fontId="2" fillId="5" borderId="0" xfId="0" applyFont="1" applyFill="1" applyBorder="1" applyAlignment="1" applyProtection="1">
      <alignment vertical="center"/>
    </xf>
    <xf numFmtId="0" fontId="3" fillId="5" borderId="0" xfId="0" applyFont="1" applyFill="1" applyBorder="1" applyAlignment="1" applyProtection="1">
      <alignment vertical="center"/>
      <protection hidden="1"/>
    </xf>
    <xf numFmtId="0" fontId="2" fillId="0" borderId="0" xfId="0" applyFont="1" applyProtection="1">
      <protection hidden="1"/>
    </xf>
    <xf numFmtId="0" fontId="2" fillId="0" borderId="2" xfId="0" applyFont="1" applyBorder="1" applyProtection="1"/>
    <xf numFmtId="0" fontId="2" fillId="0" borderId="2" xfId="0" applyFont="1" applyBorder="1" applyAlignment="1" applyProtection="1">
      <alignment horizontal="center"/>
    </xf>
    <xf numFmtId="0" fontId="2" fillId="0" borderId="2" xfId="0" applyFont="1" applyBorder="1" applyProtection="1">
      <protection hidden="1"/>
    </xf>
    <xf numFmtId="0" fontId="2" fillId="0" borderId="2" xfId="0" applyFont="1" applyBorder="1" applyAlignment="1" applyProtection="1">
      <alignment horizontal="center"/>
      <protection hidden="1"/>
    </xf>
    <xf numFmtId="0" fontId="2" fillId="0" borderId="0" xfId="0" applyFont="1" applyBorder="1" applyProtection="1"/>
    <xf numFmtId="0" fontId="2" fillId="0" borderId="0" xfId="0" applyFont="1" applyBorder="1" applyAlignment="1" applyProtection="1">
      <alignment horizontal="center"/>
    </xf>
    <xf numFmtId="0" fontId="2" fillId="0" borderId="0" xfId="0" applyFont="1" applyProtection="1">
      <protection locked="0"/>
    </xf>
    <xf numFmtId="0" fontId="2" fillId="4" borderId="0" xfId="0" applyFont="1" applyFill="1" applyAlignment="1" applyProtection="1"/>
    <xf numFmtId="0" fontId="4" fillId="5" borderId="0" xfId="0" applyFont="1" applyFill="1" applyProtection="1"/>
    <xf numFmtId="0" fontId="3" fillId="5" borderId="0" xfId="0" applyFont="1" applyFill="1" applyProtection="1"/>
    <xf numFmtId="0" fontId="2" fillId="6" borderId="1" xfId="0" applyFont="1" applyFill="1" applyBorder="1" applyProtection="1">
      <protection locked="0" hidden="1"/>
    </xf>
    <xf numFmtId="0" fontId="1" fillId="5" borderId="0" xfId="0" applyFont="1" applyFill="1" applyProtection="1"/>
    <xf numFmtId="0" fontId="1" fillId="4" borderId="0" xfId="0" applyFont="1" applyFill="1" applyProtection="1"/>
    <xf numFmtId="0" fontId="2" fillId="0" borderId="0" xfId="0" applyFont="1" applyBorder="1" applyProtection="1">
      <protection hidden="1"/>
    </xf>
    <xf numFmtId="0" fontId="2" fillId="4" borderId="0" xfId="0" applyFont="1" applyFill="1" applyAlignment="1" applyProtection="1">
      <alignment horizontal="center"/>
    </xf>
    <xf numFmtId="0" fontId="2" fillId="7" borderId="0" xfId="0" applyFont="1" applyFill="1" applyProtection="1"/>
    <xf numFmtId="0" fontId="2" fillId="7" borderId="2" xfId="0" applyFont="1" applyFill="1" applyBorder="1" applyProtection="1">
      <protection hidden="1"/>
    </xf>
    <xf numFmtId="0" fontId="4" fillId="7" borderId="0" xfId="0" applyFont="1" applyFill="1" applyBorder="1" applyAlignment="1" applyProtection="1">
      <alignment vertical="center"/>
    </xf>
    <xf numFmtId="0" fontId="4" fillId="7" borderId="0" xfId="0" applyFont="1" applyFill="1" applyProtection="1"/>
    <xf numFmtId="0" fontId="4" fillId="7" borderId="0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8"/>
  <sheetViews>
    <sheetView tabSelected="1" topLeftCell="G2" workbookViewId="0">
      <selection activeCell="M23" sqref="M23"/>
    </sheetView>
  </sheetViews>
  <sheetFormatPr baseColWidth="10" defaultColWidth="10.6640625" defaultRowHeight="21" x14ac:dyDescent="0.25"/>
  <cols>
    <col min="1" max="11" width="10.6640625" style="3"/>
    <col min="12" max="12" width="11.5" style="3" customWidth="1"/>
    <col min="13" max="15" width="10.6640625" style="3" customWidth="1"/>
    <col min="16" max="16" width="15.83203125" style="3" bestFit="1" customWidth="1"/>
    <col min="17" max="17" width="8" style="3" customWidth="1"/>
    <col min="18" max="18" width="8.1640625" style="3" customWidth="1"/>
    <col min="19" max="19" width="10.6640625" style="3" customWidth="1"/>
    <col min="20" max="20" width="15" style="3" customWidth="1"/>
    <col min="21" max="21" width="19.1640625" style="3" customWidth="1"/>
    <col min="22" max="29" width="10.6640625" style="3" customWidth="1"/>
    <col min="30" max="16384" width="10.6640625" style="3"/>
  </cols>
  <sheetData>
    <row r="1" spans="1:27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2"/>
    </row>
    <row r="2" spans="1:27" x14ac:dyDescent="0.25">
      <c r="A2" s="23" t="s">
        <v>30</v>
      </c>
      <c r="B2" s="23"/>
      <c r="C2" s="23"/>
      <c r="D2" s="23"/>
      <c r="E2" s="23"/>
      <c r="F2" s="23"/>
      <c r="G2" s="23"/>
      <c r="H2" s="24"/>
      <c r="I2" s="24"/>
      <c r="J2" s="11"/>
      <c r="K2" s="11"/>
      <c r="L2" s="11"/>
      <c r="M2" s="2"/>
      <c r="U2" s="14"/>
    </row>
    <row r="3" spans="1:27" x14ac:dyDescent="0.25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2"/>
      <c r="U3" s="14"/>
    </row>
    <row r="4" spans="1:27" x14ac:dyDescent="0.25">
      <c r="A4" s="2"/>
      <c r="B4" s="2"/>
      <c r="C4" s="2"/>
      <c r="D4" s="29" t="s">
        <v>1</v>
      </c>
      <c r="E4" s="29"/>
      <c r="F4" s="2"/>
      <c r="G4" s="29" t="s">
        <v>32</v>
      </c>
      <c r="H4" s="29"/>
      <c r="I4" s="2"/>
      <c r="J4" s="2"/>
      <c r="K4" s="2"/>
      <c r="L4" s="2"/>
      <c r="M4" s="2"/>
    </row>
    <row r="5" spans="1:27" x14ac:dyDescent="0.25">
      <c r="A5" s="29" t="s">
        <v>31</v>
      </c>
      <c r="B5" s="29"/>
      <c r="C5" s="2"/>
      <c r="D5" s="29" t="s">
        <v>12</v>
      </c>
      <c r="E5" s="29"/>
      <c r="F5" s="2"/>
      <c r="G5" s="29" t="s">
        <v>33</v>
      </c>
      <c r="H5" s="29"/>
      <c r="J5" s="22" t="s">
        <v>17</v>
      </c>
      <c r="K5" s="22"/>
      <c r="L5" s="2"/>
      <c r="M5" s="2"/>
      <c r="P5" s="15" t="s">
        <v>11</v>
      </c>
      <c r="Q5" s="15" t="s">
        <v>38</v>
      </c>
      <c r="R5" s="16" t="s">
        <v>5</v>
      </c>
      <c r="S5" s="16" t="s">
        <v>6</v>
      </c>
      <c r="T5" s="16" t="s">
        <v>7</v>
      </c>
      <c r="V5" s="15" t="s">
        <v>11</v>
      </c>
      <c r="W5" s="15" t="s">
        <v>38</v>
      </c>
      <c r="X5" s="16" t="s">
        <v>5</v>
      </c>
      <c r="Y5" s="16" t="s">
        <v>6</v>
      </c>
      <c r="Z5" s="16" t="s">
        <v>7</v>
      </c>
    </row>
    <row r="6" spans="1:2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P6" s="15"/>
      <c r="Q6" s="15"/>
      <c r="R6" s="16"/>
      <c r="S6" s="16"/>
      <c r="T6" s="16"/>
      <c r="V6" s="15"/>
      <c r="W6" s="15"/>
      <c r="X6" s="16"/>
      <c r="Y6" s="16"/>
      <c r="Z6" s="16"/>
    </row>
    <row r="7" spans="1:27" s="14" customFormat="1" ht="22" thickBot="1" x14ac:dyDescent="0.3">
      <c r="A7" s="4"/>
      <c r="B7" s="4"/>
      <c r="C7" s="4"/>
      <c r="D7" s="5" t="s">
        <v>13</v>
      </c>
      <c r="E7" s="5" t="s">
        <v>14</v>
      </c>
      <c r="F7" s="4"/>
      <c r="G7" s="5" t="s">
        <v>13</v>
      </c>
      <c r="H7" s="5" t="s">
        <v>14</v>
      </c>
      <c r="I7" s="4"/>
      <c r="J7" s="4"/>
      <c r="K7" s="4"/>
      <c r="L7" s="4"/>
      <c r="M7" s="4"/>
      <c r="P7" s="17" t="s">
        <v>8</v>
      </c>
      <c r="Q7" s="17">
        <v>10</v>
      </c>
      <c r="R7" s="18">
        <v>0</v>
      </c>
      <c r="S7" s="18">
        <v>7.5</v>
      </c>
      <c r="T7" s="18">
        <v>2.5</v>
      </c>
      <c r="V7" s="17" t="s">
        <v>8</v>
      </c>
      <c r="W7" s="17">
        <v>10</v>
      </c>
      <c r="X7" s="18">
        <v>0</v>
      </c>
      <c r="Y7" s="18">
        <v>7.5</v>
      </c>
      <c r="Z7" s="18">
        <v>2.5</v>
      </c>
      <c r="AA7" s="14">
        <f>1/4*(W7+X7+Y7+Z7)</f>
        <v>5</v>
      </c>
    </row>
    <row r="8" spans="1:27" ht="22" thickBot="1" x14ac:dyDescent="0.3">
      <c r="A8" s="2" t="s">
        <v>0</v>
      </c>
      <c r="B8" s="25">
        <v>3.47</v>
      </c>
      <c r="C8" s="6"/>
      <c r="D8" s="7" t="s">
        <v>15</v>
      </c>
      <c r="E8" s="7" t="s">
        <v>15</v>
      </c>
      <c r="F8" s="2"/>
      <c r="G8" s="7" t="s">
        <v>16</v>
      </c>
      <c r="H8" s="7" t="s">
        <v>16</v>
      </c>
      <c r="I8" s="2"/>
      <c r="J8" s="8">
        <f>B8-(D9*G9+D10*G10+D12*G12+D11*G11)+(E9*H9+E10*H10+E12*H12+E11*H11)</f>
        <v>3.47</v>
      </c>
      <c r="K8" s="2" t="s">
        <v>0</v>
      </c>
      <c r="L8" s="2"/>
      <c r="M8" s="2"/>
      <c r="P8" s="15" t="s">
        <v>9</v>
      </c>
      <c r="Q8" s="15">
        <v>0</v>
      </c>
      <c r="R8" s="18">
        <v>2.5</v>
      </c>
      <c r="S8" s="18">
        <v>7.5</v>
      </c>
      <c r="T8" s="18">
        <v>10</v>
      </c>
      <c r="V8" s="15" t="s">
        <v>9</v>
      </c>
      <c r="W8" s="15">
        <v>0</v>
      </c>
      <c r="X8" s="18">
        <v>2.5</v>
      </c>
      <c r="Y8" s="18">
        <v>7.5</v>
      </c>
      <c r="Z8" s="18">
        <v>10</v>
      </c>
      <c r="AA8" s="14">
        <f t="shared" ref="AA8:AA10" si="0">1/4*(W8+X8+Y8+Z8)</f>
        <v>5</v>
      </c>
    </row>
    <row r="9" spans="1:27" ht="22" thickBot="1" x14ac:dyDescent="0.3">
      <c r="A9" s="2" t="s">
        <v>2</v>
      </c>
      <c r="B9" s="25">
        <v>8</v>
      </c>
      <c r="C9" s="6"/>
      <c r="D9" s="9">
        <v>0</v>
      </c>
      <c r="E9" s="10">
        <v>0</v>
      </c>
      <c r="F9" s="2"/>
      <c r="G9" s="9">
        <v>5.13</v>
      </c>
      <c r="H9" s="10">
        <v>5.1100000000000003</v>
      </c>
      <c r="I9" s="2"/>
      <c r="J9" s="8">
        <f>B9+D9-E9</f>
        <v>8</v>
      </c>
      <c r="K9" s="2" t="s">
        <v>2</v>
      </c>
      <c r="L9" s="2"/>
      <c r="M9" s="2"/>
      <c r="P9" s="15" t="s">
        <v>37</v>
      </c>
      <c r="Q9" s="15">
        <v>0</v>
      </c>
      <c r="R9" s="18">
        <v>7.5</v>
      </c>
      <c r="S9" s="18">
        <v>2.5</v>
      </c>
      <c r="T9" s="18">
        <v>10</v>
      </c>
      <c r="V9" s="15" t="s">
        <v>37</v>
      </c>
      <c r="W9" s="15">
        <v>0</v>
      </c>
      <c r="X9" s="18">
        <v>7.5</v>
      </c>
      <c r="Y9" s="18">
        <v>2.5</v>
      </c>
      <c r="Z9" s="18">
        <v>10</v>
      </c>
      <c r="AA9" s="14">
        <f t="shared" si="0"/>
        <v>5</v>
      </c>
    </row>
    <row r="10" spans="1:27" ht="22" thickBot="1" x14ac:dyDescent="0.3">
      <c r="A10" s="2" t="s">
        <v>3</v>
      </c>
      <c r="B10" s="25">
        <v>5</v>
      </c>
      <c r="C10" s="6"/>
      <c r="D10" s="9">
        <v>0</v>
      </c>
      <c r="E10" s="10">
        <v>0</v>
      </c>
      <c r="F10" s="2"/>
      <c r="G10" s="9">
        <v>1.51</v>
      </c>
      <c r="H10" s="10">
        <v>1.52</v>
      </c>
      <c r="I10" s="2"/>
      <c r="J10" s="8">
        <f>B10+D10-E10</f>
        <v>5</v>
      </c>
      <c r="K10" s="2" t="s">
        <v>3</v>
      </c>
      <c r="L10" s="2"/>
      <c r="M10" s="2"/>
      <c r="P10" s="15" t="s">
        <v>4</v>
      </c>
      <c r="Q10" s="15">
        <v>5</v>
      </c>
      <c r="R10" s="18">
        <v>5</v>
      </c>
      <c r="S10" s="18">
        <v>5</v>
      </c>
      <c r="T10" s="18">
        <v>5</v>
      </c>
      <c r="V10" s="15" t="s">
        <v>4</v>
      </c>
      <c r="W10" s="15">
        <v>5</v>
      </c>
      <c r="X10" s="18">
        <v>5</v>
      </c>
      <c r="Y10" s="18">
        <v>5</v>
      </c>
      <c r="Z10" s="18">
        <v>5</v>
      </c>
      <c r="AA10" s="14">
        <f t="shared" si="0"/>
        <v>5</v>
      </c>
    </row>
    <row r="11" spans="1:27" ht="22" thickBot="1" x14ac:dyDescent="0.3">
      <c r="A11" s="2" t="s">
        <v>44</v>
      </c>
      <c r="B11" s="25">
        <v>8</v>
      </c>
      <c r="C11" s="6"/>
      <c r="D11" s="9">
        <v>0</v>
      </c>
      <c r="E11" s="10">
        <v>0</v>
      </c>
      <c r="F11" s="2"/>
      <c r="G11" s="9">
        <v>3.51</v>
      </c>
      <c r="H11" s="10">
        <v>3.49</v>
      </c>
      <c r="I11" s="2"/>
      <c r="J11" s="8">
        <f>B11+D11-E11</f>
        <v>8</v>
      </c>
      <c r="K11" s="2" t="s">
        <v>36</v>
      </c>
      <c r="L11" s="2"/>
      <c r="M11" s="2"/>
      <c r="V11" s="19"/>
      <c r="W11" s="19"/>
      <c r="X11" s="20"/>
      <c r="Y11" s="20"/>
      <c r="Z11" s="20"/>
    </row>
    <row r="12" spans="1:27" ht="22" thickBot="1" x14ac:dyDescent="0.3">
      <c r="A12" s="2" t="s">
        <v>4</v>
      </c>
      <c r="B12" s="25">
        <v>0</v>
      </c>
      <c r="C12" s="6"/>
      <c r="D12" s="9">
        <v>0</v>
      </c>
      <c r="E12" s="10">
        <v>0</v>
      </c>
      <c r="F12" s="2"/>
      <c r="G12" s="9">
        <v>5.03</v>
      </c>
      <c r="H12" s="10">
        <v>5.01</v>
      </c>
      <c r="I12" s="2"/>
      <c r="J12" s="8">
        <f>B12+D12-E12</f>
        <v>0</v>
      </c>
      <c r="K12" s="2" t="s">
        <v>4</v>
      </c>
      <c r="L12" s="2"/>
      <c r="M12" s="2"/>
    </row>
    <row r="13" spans="1:27" x14ac:dyDescent="0.25">
      <c r="A13" s="2"/>
      <c r="B13" s="2"/>
      <c r="C13" s="2"/>
      <c r="D13" s="2"/>
      <c r="E13" s="2"/>
      <c r="F13" s="2"/>
      <c r="G13" s="2"/>
      <c r="H13" s="2"/>
      <c r="I13" s="2"/>
      <c r="J13" s="4"/>
      <c r="K13" s="2"/>
      <c r="L13" s="2"/>
      <c r="M13" s="2"/>
      <c r="N13" s="30" t="s">
        <v>10</v>
      </c>
      <c r="O13" s="30"/>
      <c r="P13" s="31">
        <v>0.01</v>
      </c>
      <c r="Q13" s="28"/>
      <c r="V13" s="15" t="s">
        <v>11</v>
      </c>
      <c r="W13" s="15" t="s">
        <v>38</v>
      </c>
      <c r="X13" s="16" t="s">
        <v>5</v>
      </c>
      <c r="Y13" s="16" t="s">
        <v>6</v>
      </c>
      <c r="Z13" s="16" t="s">
        <v>7</v>
      </c>
    </row>
    <row r="14" spans="1:2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3" t="s">
        <v>18</v>
      </c>
      <c r="P14" s="14">
        <f>J8+J9*1/4*(Q7+R7+S7+T7)+J10*1/4*(Q8+R8+S8+T8)+J12*1/4*(Q10+R10+S10+T10) + J11*1/4*(Q9+R9+S9+T9)</f>
        <v>108.47</v>
      </c>
      <c r="Q14" s="14"/>
      <c r="V14" s="15"/>
      <c r="W14" s="15"/>
      <c r="X14" s="16"/>
      <c r="Y14" s="16"/>
      <c r="Z14" s="16"/>
    </row>
    <row r="15" spans="1:2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V15" s="15" t="s">
        <v>20</v>
      </c>
      <c r="W15" s="15">
        <f>W7^2</f>
        <v>100</v>
      </c>
      <c r="X15" s="18">
        <f>X7^2</f>
        <v>0</v>
      </c>
      <c r="Y15" s="18">
        <f>Y7^2</f>
        <v>56.25</v>
      </c>
      <c r="Z15" s="18">
        <f>Z7^2</f>
        <v>6.25</v>
      </c>
    </row>
    <row r="16" spans="1:2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V16" s="15" t="s">
        <v>21</v>
      </c>
      <c r="W16" s="15">
        <f t="shared" ref="W16:W18" si="1">W8^2</f>
        <v>0</v>
      </c>
      <c r="X16" s="18">
        <f>X8^2</f>
        <v>6.25</v>
      </c>
      <c r="Y16" s="18">
        <f>Y8^2</f>
        <v>56.25</v>
      </c>
      <c r="Z16" s="18">
        <f>Z8^2</f>
        <v>100</v>
      </c>
    </row>
    <row r="17" spans="1:2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V17" s="15" t="s">
        <v>39</v>
      </c>
      <c r="W17" s="15">
        <f t="shared" si="1"/>
        <v>0</v>
      </c>
      <c r="X17" s="18">
        <f t="shared" ref="X17:Z18" si="2">X9^2</f>
        <v>56.25</v>
      </c>
      <c r="Y17" s="18">
        <f t="shared" si="2"/>
        <v>6.25</v>
      </c>
      <c r="Z17" s="18">
        <f t="shared" si="2"/>
        <v>100</v>
      </c>
    </row>
    <row r="18" spans="1:26" x14ac:dyDescent="0.25">
      <c r="A18" s="2"/>
      <c r="B18" s="2"/>
      <c r="C18" s="11"/>
      <c r="D18" s="12"/>
      <c r="E18" s="11"/>
      <c r="F18" s="2"/>
      <c r="G18" s="2"/>
      <c r="H18" s="2"/>
      <c r="I18" s="2"/>
      <c r="J18" s="2"/>
      <c r="K18" s="2"/>
      <c r="L18" s="2"/>
      <c r="M18" s="2"/>
      <c r="T18" s="3" t="s">
        <v>19</v>
      </c>
      <c r="U18" s="14">
        <f>1/4*(W15+X15+Y15+Z15)-1/16*(W7+X7+Y7+Z7)^2</f>
        <v>15.625</v>
      </c>
      <c r="V18" s="15" t="s">
        <v>22</v>
      </c>
      <c r="W18" s="15">
        <f t="shared" si="1"/>
        <v>25</v>
      </c>
      <c r="X18" s="18">
        <f t="shared" si="2"/>
        <v>25</v>
      </c>
      <c r="Y18" s="18">
        <f t="shared" si="2"/>
        <v>25</v>
      </c>
      <c r="Z18" s="18">
        <f t="shared" si="2"/>
        <v>25</v>
      </c>
    </row>
    <row r="19" spans="1:26" x14ac:dyDescent="0.25">
      <c r="A19" s="2"/>
      <c r="B19" s="2"/>
      <c r="C19" s="12"/>
      <c r="D19" s="12"/>
      <c r="E19" s="13"/>
      <c r="F19" s="2"/>
      <c r="G19" s="2"/>
      <c r="H19" s="2"/>
      <c r="I19" s="2"/>
      <c r="J19" s="2"/>
      <c r="K19" s="2"/>
      <c r="M19" s="2"/>
      <c r="T19" s="3" t="s">
        <v>23</v>
      </c>
      <c r="U19" s="14">
        <f t="shared" ref="U19:U21" si="3">1/4*(W16+X16+Y16+Z16)-1/16*(W8+X8+Y8+Z8)^2</f>
        <v>15.625</v>
      </c>
    </row>
    <row r="20" spans="1:26" x14ac:dyDescent="0.25">
      <c r="A20" s="2"/>
      <c r="B20" s="2"/>
      <c r="C20" s="12"/>
      <c r="D20" s="12"/>
      <c r="E20" s="13"/>
      <c r="F20" s="2"/>
      <c r="G20" s="2"/>
      <c r="H20" s="2"/>
      <c r="I20" s="2"/>
      <c r="J20" s="32" t="s">
        <v>29</v>
      </c>
      <c r="K20" s="33"/>
      <c r="L20" s="34">
        <f>P14-P13*P25</f>
        <v>98.813749999999999</v>
      </c>
      <c r="M20" s="27"/>
      <c r="T20" s="3" t="s">
        <v>40</v>
      </c>
      <c r="U20" s="14">
        <f t="shared" si="3"/>
        <v>15.625</v>
      </c>
    </row>
    <row r="21" spans="1:26" x14ac:dyDescent="0.25">
      <c r="A21" s="11"/>
      <c r="B21" s="11"/>
      <c r="C21" s="11"/>
      <c r="D21" s="11"/>
      <c r="E21" s="11"/>
      <c r="F21" s="11"/>
      <c r="G21" s="11"/>
      <c r="H21" s="11"/>
      <c r="I21" s="11"/>
      <c r="J21" s="26" t="s">
        <v>35</v>
      </c>
      <c r="K21" s="26"/>
      <c r="L21" s="26">
        <f>P14/SQRT(P25)</f>
        <v>3.4906426407335718</v>
      </c>
      <c r="M21" s="3" t="s">
        <v>34</v>
      </c>
      <c r="T21" s="3" t="s">
        <v>24</v>
      </c>
      <c r="U21" s="14">
        <f t="shared" si="3"/>
        <v>0</v>
      </c>
    </row>
    <row r="22" spans="1:26" x14ac:dyDescent="0.25">
      <c r="A22" s="1"/>
      <c r="B22" s="1"/>
      <c r="C22" s="1"/>
      <c r="D22" s="1"/>
      <c r="E22" s="1"/>
      <c r="F22" s="1"/>
      <c r="G22" s="1"/>
    </row>
    <row r="23" spans="1:26" x14ac:dyDescent="0.25">
      <c r="T23" s="3" t="s">
        <v>25</v>
      </c>
      <c r="U23" s="14">
        <f>1/4*(W7*W8+X7*X8+Y7*Y8+Z7*Z8)-AA7*AA8</f>
        <v>-4.6875</v>
      </c>
    </row>
    <row r="24" spans="1:26" x14ac:dyDescent="0.25">
      <c r="T24" s="3" t="s">
        <v>26</v>
      </c>
      <c r="U24" s="14">
        <f>1/4*(W7*W10+X7*X10+Y7*Y10+Z7*Z10)-AA7*AA10</f>
        <v>0</v>
      </c>
    </row>
    <row r="25" spans="1:26" x14ac:dyDescent="0.25">
      <c r="N25" s="3" t="s">
        <v>28</v>
      </c>
      <c r="P25" s="14">
        <f>J9^2*U18+J10^2*U19+J11^2*U20+J12^2*U21+2*J9*J10*U23+2*J9*J12*U24+2*J10*J12*U25 + 2*J11*J12*U26+2*J9*J11*U27+2*J10*J11*U28</f>
        <v>965.625</v>
      </c>
      <c r="T25" s="3" t="s">
        <v>27</v>
      </c>
      <c r="U25" s="14">
        <f>1/4*(W8*W10+X8*X10+Y8*Y10+Z8*Z10)-AA8*AA10</f>
        <v>0</v>
      </c>
    </row>
    <row r="26" spans="1:26" x14ac:dyDescent="0.25">
      <c r="G26" s="21"/>
      <c r="Q26" s="14"/>
      <c r="T26" s="3" t="s">
        <v>41</v>
      </c>
      <c r="U26" s="14">
        <f>1/4*(W9*W10+X9*X10+Y9*Y10+Z9*Z10)-AA9*AA10</f>
        <v>0</v>
      </c>
    </row>
    <row r="27" spans="1:26" x14ac:dyDescent="0.25">
      <c r="T27" s="3" t="s">
        <v>42</v>
      </c>
      <c r="U27" s="3">
        <f>1/4*(W7*W9+X7*X9+Y7*Y9+Z7*Z9)-AA7*AA9</f>
        <v>-14.0625</v>
      </c>
    </row>
    <row r="28" spans="1:26" x14ac:dyDescent="0.25">
      <c r="T28" s="3" t="s">
        <v>43</v>
      </c>
      <c r="U28" s="3">
        <f>1/4*(W8*W9+X8*X9+Y8*Y9+Z8*Z9)-AA8*AA9</f>
        <v>9.375</v>
      </c>
    </row>
  </sheetData>
  <sheetProtection selectLockedCells="1"/>
  <protectedRanges>
    <protectedRange sqref="B8:B12 D9:E12 G9:H12" name="Range1"/>
  </protectedRanges>
  <mergeCells count="5">
    <mergeCell ref="A5:B5"/>
    <mergeCell ref="G4:H4"/>
    <mergeCell ref="D4:E4"/>
    <mergeCell ref="D5:E5"/>
    <mergeCell ref="G5:H5"/>
  </mergeCell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F20" sqref="F20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Diversification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Liza</dc:creator>
  <cp:lastModifiedBy>PB</cp:lastModifiedBy>
  <dcterms:created xsi:type="dcterms:W3CDTF">2013-03-05T23:33:16Z</dcterms:created>
  <dcterms:modified xsi:type="dcterms:W3CDTF">2020-09-08T01:16:12Z</dcterms:modified>
</cp:coreProperties>
</file>